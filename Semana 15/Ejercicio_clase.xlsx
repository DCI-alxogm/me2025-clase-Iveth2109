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h\Documents\"/>
    </mc:Choice>
  </mc:AlternateContent>
  <xr:revisionPtr revIDLastSave="0" documentId="8_{E5FF9DBE-4BCE-4812-BAB5-34FCC8C5F9CD}" xr6:coauthVersionLast="47" xr6:coauthVersionMax="47" xr10:uidLastSave="{00000000-0000-0000-0000-000000000000}"/>
  <bookViews>
    <workbookView xWindow="-108" yWindow="-108" windowWidth="23256" windowHeight="12456" xr2:uid="{B1FDED29-171A-4929-A162-BBED9AAC3D66}"/>
  </bookViews>
  <sheets>
    <sheet name="Hoja1" sheetId="2" r:id="rId1"/>
  </sheets>
  <definedNames>
    <definedName name="solver_adj" localSheetId="0" hidden="1">Hoja1!$I$7:$I$8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Hoja1!$I$18</definedName>
    <definedName name="solver_lhs2" localSheetId="0" hidden="1">Hoja1!$I$16</definedName>
    <definedName name="solver_lhs3" localSheetId="0" hidden="1">Hoja1!$I$16</definedName>
    <definedName name="solver_lhs4" localSheetId="0" hidden="1">Hoja1!$I$17</definedName>
    <definedName name="solver_lhs5" localSheetId="0" hidden="1">Hoja1!$I$17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Hoja1!$F$17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1</definedName>
    <definedName name="solver_rel3" localSheetId="0" hidden="1">3</definedName>
    <definedName name="solver_rel4" localSheetId="0" hidden="1">1</definedName>
    <definedName name="solver_rel5" localSheetId="0" hidden="1">3</definedName>
    <definedName name="solver_rhs1" localSheetId="0" hidden="1">Hoja1!$K$18</definedName>
    <definedName name="solver_rhs2" localSheetId="0" hidden="1">Hoja1!$K$16</definedName>
    <definedName name="solver_rhs3" localSheetId="0" hidden="1">0</definedName>
    <definedName name="solver_rhs4" localSheetId="0" hidden="1">Hoja1!$K$17</definedName>
    <definedName name="solver_rhs5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2" l="1"/>
  <c r="F11" i="2"/>
  <c r="F10" i="2"/>
  <c r="F8" i="2"/>
  <c r="F7" i="2"/>
  <c r="I17" i="2"/>
  <c r="I16" i="2"/>
  <c r="F17" i="2" l="1"/>
</calcChain>
</file>

<file path=xl/sharedStrings.xml><?xml version="1.0" encoding="utf-8"?>
<sst xmlns="http://schemas.openxmlformats.org/spreadsheetml/2006/main" count="24" uniqueCount="22">
  <si>
    <t>Parámetros</t>
  </si>
  <si>
    <t>V0</t>
  </si>
  <si>
    <t>t</t>
  </si>
  <si>
    <t>Densidad</t>
  </si>
  <si>
    <t>Lmáx</t>
  </si>
  <si>
    <t>Dmáx</t>
  </si>
  <si>
    <t>cm</t>
  </si>
  <si>
    <t>cw</t>
  </si>
  <si>
    <t>Variables de diseño</t>
  </si>
  <si>
    <t>D</t>
  </si>
  <si>
    <t>L</t>
  </si>
  <si>
    <t>Restricciones</t>
  </si>
  <si>
    <t>Volumen</t>
  </si>
  <si>
    <t>Función objetivo</t>
  </si>
  <si>
    <t>Valores calculados</t>
  </si>
  <si>
    <t>m</t>
  </si>
  <si>
    <t>lw</t>
  </si>
  <si>
    <t>Vcoraza</t>
  </si>
  <si>
    <t>Vtapas</t>
  </si>
  <si>
    <t>C</t>
  </si>
  <si>
    <t>Costo mínimo de un tanque</t>
  </si>
  <si>
    <t>Ideal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</si>
</sst>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5A51E-F2A8-4BC4-B58B-B45B3B936C44}">
  <dimension ref="B4:K18"/>
  <sheetViews>
    <sheetView tabSelected="1" zoomScale="98" workbookViewId="0">
      <selection activeCell="F25" sqref="F25"/>
    </sheetView>
  </sheetViews>
  <sheetFormatPr baseColWidth="10" defaultRowHeight="14.4" x14ac:dyDescent="0.3"/>
  <cols>
    <col min="1" max="1" width="16.88671875" customWidth="1"/>
    <col min="4" max="4" width="17" customWidth="1"/>
  </cols>
  <sheetData>
    <row r="4" spans="2:11" x14ac:dyDescent="0.3">
      <c r="D4" s="1" t="s">
        <v>20</v>
      </c>
      <c r="E4" s="1"/>
      <c r="F4" s="1"/>
      <c r="G4" s="1"/>
    </row>
    <row r="6" spans="2:11" x14ac:dyDescent="0.3">
      <c r="B6" s="1" t="s">
        <v>0</v>
      </c>
      <c r="C6" s="1"/>
      <c r="E6" s="1" t="s">
        <v>14</v>
      </c>
      <c r="F6" s="1"/>
      <c r="H6" s="1" t="s">
        <v>8</v>
      </c>
      <c r="I6" s="1"/>
    </row>
    <row r="7" spans="2:11" x14ac:dyDescent="0.3">
      <c r="B7" s="2" t="s">
        <v>1</v>
      </c>
      <c r="C7">
        <v>0.8</v>
      </c>
      <c r="E7" s="2" t="s">
        <v>15</v>
      </c>
      <c r="F7">
        <f>((I8*PI())*((((I7/2)+C8)^2-(I7/2)^2))+((2*PI())*((I7/2)+C8)^2*(C8)))*(C9)</f>
        <v>1215.2443565368742</v>
      </c>
      <c r="H7" s="2" t="s">
        <v>9</v>
      </c>
      <c r="I7">
        <v>0.98284861393235023</v>
      </c>
    </row>
    <row r="8" spans="2:11" x14ac:dyDescent="0.3">
      <c r="B8" s="2" t="s">
        <v>2</v>
      </c>
      <c r="C8">
        <v>0.03</v>
      </c>
      <c r="E8" s="2" t="s">
        <v>16</v>
      </c>
      <c r="F8">
        <f>(4*PI())*(I7+C8)</f>
        <v>12.727831058913905</v>
      </c>
      <c r="H8" s="2" t="s">
        <v>10</v>
      </c>
      <c r="I8">
        <v>1.0544530112859798</v>
      </c>
    </row>
    <row r="9" spans="2:11" x14ac:dyDescent="0.3">
      <c r="B9" s="2" t="s">
        <v>3</v>
      </c>
      <c r="C9">
        <v>8000</v>
      </c>
    </row>
    <row r="10" spans="2:11" x14ac:dyDescent="0.3">
      <c r="B10" s="2" t="s">
        <v>4</v>
      </c>
      <c r="C10">
        <v>2</v>
      </c>
      <c r="E10" s="2" t="s">
        <v>17</v>
      </c>
      <c r="F10">
        <f>(I8*PI())*(((I7/2)+C8)^2-(I7/2)^2)</f>
        <v>0.10065674840408245</v>
      </c>
    </row>
    <row r="11" spans="2:11" x14ac:dyDescent="0.3">
      <c r="B11" s="2" t="s">
        <v>5</v>
      </c>
      <c r="C11">
        <v>1</v>
      </c>
      <c r="E11" s="2" t="s">
        <v>18</v>
      </c>
      <c r="F11">
        <f>((2*PI())*((I7/2)+C8)^2*(C8))</f>
        <v>5.1248796163026834E-2</v>
      </c>
    </row>
    <row r="12" spans="2:11" x14ac:dyDescent="0.3">
      <c r="B12" s="2" t="s">
        <v>6</v>
      </c>
      <c r="C12">
        <v>4.5</v>
      </c>
    </row>
    <row r="13" spans="2:11" x14ac:dyDescent="0.3">
      <c r="B13" s="2" t="s">
        <v>7</v>
      </c>
      <c r="C13">
        <v>20</v>
      </c>
    </row>
    <row r="15" spans="2:11" x14ac:dyDescent="0.3">
      <c r="I15" s="3" t="s">
        <v>21</v>
      </c>
      <c r="K15" s="2" t="s">
        <v>11</v>
      </c>
    </row>
    <row r="16" spans="2:11" x14ac:dyDescent="0.3">
      <c r="E16" s="1" t="s">
        <v>13</v>
      </c>
      <c r="F16" s="1"/>
      <c r="H16" s="2" t="s">
        <v>9</v>
      </c>
      <c r="I16">
        <f>I7</f>
        <v>0.98284861393235023</v>
      </c>
      <c r="K16">
        <v>1</v>
      </c>
    </row>
    <row r="17" spans="5:11" x14ac:dyDescent="0.3">
      <c r="E17" s="2" t="s">
        <v>19</v>
      </c>
      <c r="F17" s="4">
        <f>(C12*F7)+(C13*F8)</f>
        <v>5723.1562255942117</v>
      </c>
      <c r="H17" s="2" t="s">
        <v>10</v>
      </c>
      <c r="I17">
        <f>I8</f>
        <v>1.0544530112859798</v>
      </c>
      <c r="K17">
        <v>2</v>
      </c>
    </row>
    <row r="18" spans="5:11" x14ac:dyDescent="0.3">
      <c r="H18" s="2" t="s">
        <v>12</v>
      </c>
      <c r="I18">
        <f>(PI()*I7^2*I8)/4</f>
        <v>0.80000070891066777</v>
      </c>
      <c r="K18">
        <v>0.8</v>
      </c>
    </row>
  </sheetData>
  <mergeCells count="5">
    <mergeCell ref="D4:G4"/>
    <mergeCell ref="B6:C6"/>
    <mergeCell ref="E6:F6"/>
    <mergeCell ref="H6:I6"/>
    <mergeCell ref="E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REYNALDO HASSAN JUAREZ ARANDA</dc:creator>
  <cp:lastModifiedBy>LAURA IVETH MARTINEZ PRADO</cp:lastModifiedBy>
  <dcterms:created xsi:type="dcterms:W3CDTF">2025-11-14T03:00:48Z</dcterms:created>
  <dcterms:modified xsi:type="dcterms:W3CDTF">2025-11-14T05:47:50Z</dcterms:modified>
</cp:coreProperties>
</file>