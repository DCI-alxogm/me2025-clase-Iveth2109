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h\Documents\"/>
    </mc:Choice>
  </mc:AlternateContent>
  <xr:revisionPtr revIDLastSave="0" documentId="8_{8F2BF034-DB89-42D8-9E94-33E31AD4D30D}" xr6:coauthVersionLast="47" xr6:coauthVersionMax="47" xr10:uidLastSave="{00000000-0000-0000-0000-000000000000}"/>
  <bookViews>
    <workbookView xWindow="-108" yWindow="-108" windowWidth="23256" windowHeight="12456" xr2:uid="{C9601B22-B927-4D8F-AAFB-3BEAB347EFEB}"/>
  </bookViews>
  <sheets>
    <sheet name="Hoja1" sheetId="1" r:id="rId1"/>
  </sheets>
  <definedNames>
    <definedName name="solver_adj" localSheetId="0" hidden="1">Hoja1!$D$5:$E$5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Hoja1!$G$9</definedName>
    <definedName name="solver_lhs2" localSheetId="0" hidden="1">Hoja1!$G$10</definedName>
    <definedName name="solver_lhs3" localSheetId="0" hidden="1">Hoja1!$E$5</definedName>
    <definedName name="solver_lhs4" localSheetId="0" hidden="1">Hoja1!$G$11</definedName>
    <definedName name="solver_lhs5" localSheetId="0" hidden="1">Hoja1!$D$5</definedName>
    <definedName name="solver_lhs6" localSheetId="0" hidden="1">Hoja1!$G$8</definedName>
    <definedName name="solver_lhs7" localSheetId="0" hidden="1">Hoja1!$G$8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Hoja1!$F$16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1</definedName>
    <definedName name="solver_rel7" localSheetId="0" hidden="1">1</definedName>
    <definedName name="solver_rhs1" localSheetId="0" hidden="1">Hoja1!$H$9</definedName>
    <definedName name="solver_rhs2" localSheetId="0" hidden="1">Hoja1!$H$10</definedName>
    <definedName name="solver_rhs3" localSheetId="0" hidden="1">0</definedName>
    <definedName name="solver_rhs4" localSheetId="0" hidden="1">Hoja1!$H$11</definedName>
    <definedName name="solver_rhs5" localSheetId="0" hidden="1">0</definedName>
    <definedName name="solver_rhs6" localSheetId="0" hidden="1">Hoja1!$H$8</definedName>
    <definedName name="solver_rhs7" localSheetId="0" hidden="1">Hoja1!$H$8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E16" i="1"/>
  <c r="D16" i="1"/>
  <c r="F16" i="1" s="1"/>
</calcChain>
</file>

<file path=xl/sharedStrings.xml><?xml version="1.0" encoding="utf-8"?>
<sst xmlns="http://schemas.openxmlformats.org/spreadsheetml/2006/main" count="11" uniqueCount="10">
  <si>
    <t xml:space="preserve">Regular </t>
  </si>
  <si>
    <t>Premium</t>
  </si>
  <si>
    <t xml:space="preserve">Producido </t>
  </si>
  <si>
    <t xml:space="preserve">Materia prima </t>
  </si>
  <si>
    <t>Tiempo</t>
  </si>
  <si>
    <t>Almacen reg</t>
  </si>
  <si>
    <t>Almacen prem</t>
  </si>
  <si>
    <t>Total</t>
  </si>
  <si>
    <t>Disponible</t>
  </si>
  <si>
    <t>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</si>
</sst>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21CB-18EC-4ED2-BF90-5E45778A5C36}">
  <dimension ref="C3:H16"/>
  <sheetViews>
    <sheetView tabSelected="1" workbookViewId="0">
      <selection activeCell="H14" sqref="H14"/>
    </sheetView>
  </sheetViews>
  <sheetFormatPr baseColWidth="10" defaultRowHeight="14.4" x14ac:dyDescent="0.3"/>
  <sheetData>
    <row r="3" spans="3:8" x14ac:dyDescent="0.3">
      <c r="D3" t="s">
        <v>0</v>
      </c>
      <c r="E3" t="s">
        <v>1</v>
      </c>
      <c r="G3" t="s">
        <v>7</v>
      </c>
      <c r="H3" t="s">
        <v>8</v>
      </c>
    </row>
    <row r="5" spans="3:8" x14ac:dyDescent="0.3">
      <c r="C5" t="s">
        <v>2</v>
      </c>
      <c r="D5">
        <v>4.8888888888888884</v>
      </c>
      <c r="E5">
        <v>3.8888888888888893</v>
      </c>
    </row>
    <row r="8" spans="3:8" x14ac:dyDescent="0.3">
      <c r="C8" t="s">
        <v>3</v>
      </c>
      <c r="D8">
        <v>7</v>
      </c>
      <c r="E8">
        <v>11</v>
      </c>
      <c r="G8">
        <f>D5*D8+E5*E8</f>
        <v>77</v>
      </c>
      <c r="H8">
        <v>77</v>
      </c>
    </row>
    <row r="9" spans="3:8" x14ac:dyDescent="0.3">
      <c r="C9" t="s">
        <v>4</v>
      </c>
      <c r="D9">
        <v>10</v>
      </c>
      <c r="E9">
        <v>8</v>
      </c>
      <c r="G9">
        <f>D9*D5+E9*E5</f>
        <v>80</v>
      </c>
      <c r="H9">
        <v>80</v>
      </c>
    </row>
    <row r="10" spans="3:8" x14ac:dyDescent="0.3">
      <c r="C10" t="s">
        <v>5</v>
      </c>
      <c r="G10">
        <v>0</v>
      </c>
      <c r="H10">
        <v>9</v>
      </c>
    </row>
    <row r="11" spans="3:8" x14ac:dyDescent="0.3">
      <c r="C11" t="s">
        <v>6</v>
      </c>
      <c r="G11">
        <v>0</v>
      </c>
      <c r="H11">
        <v>6</v>
      </c>
    </row>
    <row r="15" spans="3:8" x14ac:dyDescent="0.3">
      <c r="C15" t="s">
        <v>9</v>
      </c>
      <c r="D15">
        <v>150</v>
      </c>
      <c r="E15">
        <v>175</v>
      </c>
    </row>
    <row r="16" spans="3:8" x14ac:dyDescent="0.3">
      <c r="C16" t="s">
        <v>7</v>
      </c>
      <c r="D16">
        <f>D5*D15</f>
        <v>733.33333333333326</v>
      </c>
      <c r="E16">
        <f>E5*E15</f>
        <v>680.55555555555566</v>
      </c>
      <c r="F16">
        <f>SUM(D16:E16)</f>
        <v>1413.8888888888889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IVETH MARTINEZ PRADO</dc:creator>
  <cp:lastModifiedBy>LAURA IVETH MARTINEZ PRADO</cp:lastModifiedBy>
  <dcterms:created xsi:type="dcterms:W3CDTF">2025-11-12T21:36:15Z</dcterms:created>
  <dcterms:modified xsi:type="dcterms:W3CDTF">2025-11-12T22:33:15Z</dcterms:modified>
</cp:coreProperties>
</file>